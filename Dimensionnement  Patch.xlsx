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amille\Downloads\"/>
    </mc:Choice>
  </mc:AlternateContent>
  <xr:revisionPtr revIDLastSave="0" documentId="13_ncr:1_{8C53B461-C51D-4A66-A0EF-0D09F08F076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imensionnement Patch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0" i="2" l="1"/>
  <c r="K19" i="2"/>
  <c r="K18" i="2"/>
  <c r="K11" i="2"/>
  <c r="K13" i="2"/>
  <c r="B14" i="2"/>
  <c r="E11" i="2" s="1"/>
  <c r="E27" i="2" s="1"/>
  <c r="H28" i="2"/>
  <c r="B17" i="2"/>
  <c r="B18" i="2" l="1"/>
  <c r="E12" i="2" l="1"/>
  <c r="H19" i="2"/>
  <c r="H20" i="2" l="1"/>
  <c r="H21" i="2" s="1"/>
  <c r="G35" i="2"/>
  <c r="G36" i="2"/>
  <c r="G37" i="2"/>
  <c r="G34" i="2"/>
  <c r="E14" i="2"/>
  <c r="E24" i="2"/>
  <c r="E13" i="2"/>
  <c r="E25" i="2"/>
  <c r="E16" i="2"/>
  <c r="E19" i="2" l="1"/>
  <c r="E20" i="2" s="1"/>
  <c r="H34" i="2"/>
  <c r="H35" i="2"/>
  <c r="H36" i="2"/>
  <c r="H37" i="2"/>
  <c r="H10" i="2"/>
  <c r="H15" i="2"/>
  <c r="H23" i="2"/>
  <c r="E17" i="2"/>
  <c r="E21" i="2" s="1"/>
  <c r="H24" i="2" s="1"/>
  <c r="H25" i="2" s="1"/>
  <c r="H26" i="2" l="1"/>
</calcChain>
</file>

<file path=xl/sharedStrings.xml><?xml version="1.0" encoding="utf-8"?>
<sst xmlns="http://schemas.openxmlformats.org/spreadsheetml/2006/main" count="71" uniqueCount="71">
  <si>
    <t>Hypothèses (diagramme) : réseau uniforme broadside, HPBW ~ K·λ/(N·d).</t>
  </si>
  <si>
    <t>CONSTANTES</t>
  </si>
  <si>
    <t>f0 (Hz)</t>
  </si>
  <si>
    <t>c (m/s)</t>
  </si>
  <si>
    <t>BW adaptation élément (%)</t>
  </si>
  <si>
    <t>Tolérance HPBW (±, %)</t>
  </si>
  <si>
    <t>Constante K (deg)</t>
  </si>
  <si>
    <t>Nx</t>
  </si>
  <si>
    <t>Ny</t>
  </si>
  <si>
    <t>fmin (Hz)</t>
  </si>
  <si>
    <t>DIMENSIONNEMENT ANTENNE PATCH</t>
  </si>
  <si>
    <t>Epsilon_r</t>
  </si>
  <si>
    <t>SUBSTRAT</t>
  </si>
  <si>
    <t>hauteur (m)</t>
  </si>
  <si>
    <t>CAHIER DES CHARGES</t>
  </si>
  <si>
    <t>ENTREES GLOBALES</t>
  </si>
  <si>
    <t>DIMENSION PATCH</t>
  </si>
  <si>
    <t>PATCH ELEMENTAIRE</t>
  </si>
  <si>
    <t>lambda_0</t>
  </si>
  <si>
    <t>w</t>
  </si>
  <si>
    <t>coeff_lambda</t>
  </si>
  <si>
    <t>w/h</t>
  </si>
  <si>
    <t>Epsilon_eff</t>
  </si>
  <si>
    <t>Longueur sans effet de bord</t>
  </si>
  <si>
    <t>lambda_g</t>
  </si>
  <si>
    <t>L</t>
  </si>
  <si>
    <t>Longueur avec effet de bord</t>
  </si>
  <si>
    <t>ΔL/h</t>
  </si>
  <si>
    <t>ΔL</t>
  </si>
  <si>
    <t>L_eff_bord</t>
  </si>
  <si>
    <t>REASEAU DE PATCHS</t>
  </si>
  <si>
    <t>CARACTERISTIQUE PATCH</t>
  </si>
  <si>
    <t>Bande passante</t>
  </si>
  <si>
    <t>fmax (Hz)</t>
  </si>
  <si>
    <t>Distance entre 2 extremitées patch théorique</t>
  </si>
  <si>
    <t xml:space="preserve">Δ distance </t>
  </si>
  <si>
    <t>coeff lambda associé la distance souhaitée</t>
  </si>
  <si>
    <t>Distance entre patchs</t>
  </si>
  <si>
    <t>d</t>
  </si>
  <si>
    <t>Superposition des patchs</t>
  </si>
  <si>
    <t>Longueur de ligne entre patchs</t>
  </si>
  <si>
    <t>Largeur de ligne entre patchs</t>
  </si>
  <si>
    <t>Nombre d'éléments dans le réseau</t>
  </si>
  <si>
    <t xml:space="preserve">Gain </t>
  </si>
  <si>
    <t>EXCITATION EN PHASE</t>
  </si>
  <si>
    <t>Largeur de ligne entre patch théorique (m)</t>
  </si>
  <si>
    <t>Longueur de ligne entre patch théorique (m)</t>
  </si>
  <si>
    <t>Architecture Retenue</t>
  </si>
  <si>
    <t>Nombre d'éléments dans le plan H</t>
  </si>
  <si>
    <t>Nombre d'éléments dans le plan E</t>
  </si>
  <si>
    <t>gain (dBi)</t>
  </si>
  <si>
    <t>HPBW</t>
  </si>
  <si>
    <t xml:space="preserve">Impédance </t>
  </si>
  <si>
    <t>Bande passante (MHz)</t>
  </si>
  <si>
    <t>Gain</t>
  </si>
  <si>
    <t xml:space="preserve">SCÉNARIOS </t>
  </si>
  <si>
    <t>Gain réseau théorique</t>
  </si>
  <si>
    <t>Calculs : toutes les autres cellules sont calculées automatiquement à partir des entrées ou cellules jaunes</t>
  </si>
  <si>
    <t>Patch élémentaire : dimensionnement analytique basé sur le modèle cavité / ouverture équivalente (mode TM₁₀).</t>
  </si>
  <si>
    <t>Limites : les pertes d’alimentation et les effets de couplage mutuel ne sont pas pris en compte.</t>
  </si>
  <si>
    <t>Remarque : cette feuille est destinée au pré-dimensionnement ; une validation par simulation EM est recommandée. (ex:ADS)</t>
  </si>
  <si>
    <t>ALIMENTATION</t>
  </si>
  <si>
    <t>ADAPTATION QUART ONDE</t>
  </si>
  <si>
    <t>Impédance de l'adapatation</t>
  </si>
  <si>
    <t>Impédance du réseau  1x3</t>
  </si>
  <si>
    <t>Longueur de ligne</t>
  </si>
  <si>
    <t>Ouverture vertival (deg)</t>
  </si>
  <si>
    <t>Balayage horizontal (deg)</t>
  </si>
  <si>
    <t>BALAYAGE ELECTRONIQUE</t>
  </si>
  <si>
    <r>
      <t>Δ</t>
    </r>
    <r>
      <rPr>
        <sz val="11"/>
        <color theme="1"/>
        <rFont val="Plantagenet Cherokee"/>
        <family val="1"/>
      </rPr>
      <t>φ</t>
    </r>
  </si>
  <si>
    <t>Déphasage entre éléments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</si>
</sst>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i/>
      <sz val="11"/>
      <color rgb="FF555555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Plantagenet Cherokee"/>
      <family val="1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9E9E9E"/>
      </bottom>
      <diagonal/>
    </border>
    <border>
      <left/>
      <right style="medium">
        <color indexed="64"/>
      </right>
      <top/>
      <bottom style="thin">
        <color rgb="FF9E9E9E"/>
      </bottom>
      <diagonal/>
    </border>
    <border>
      <left style="medium">
        <color indexed="64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medium">
        <color indexed="64"/>
      </right>
      <top style="thin">
        <color rgb="FF9E9E9E"/>
      </top>
      <bottom style="thin">
        <color rgb="FF9E9E9E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/>
    <xf numFmtId="0" fontId="0" fillId="0" borderId="1" xfId="0" applyBorder="1"/>
    <xf numFmtId="0" fontId="0" fillId="0" borderId="0" xfId="0" applyBorder="1"/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4" borderId="2" xfId="0" applyFill="1" applyBorder="1" applyAlignment="1">
      <alignment horizontal="right" vertical="center" wrapText="1"/>
    </xf>
    <xf numFmtId="2" fontId="0" fillId="0" borderId="2" xfId="0" applyNumberFormat="1" applyBorder="1" applyAlignment="1">
      <alignment horizontal="righ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8" xfId="0" applyBorder="1"/>
    <xf numFmtId="0" fontId="6" fillId="5" borderId="9" xfId="0" applyFont="1" applyFill="1" applyBorder="1" applyAlignment="1">
      <alignment horizontal="left" vertical="center" wrapText="1"/>
    </xf>
    <xf numFmtId="0" fontId="0" fillId="4" borderId="10" xfId="0" applyFill="1" applyBorder="1" applyAlignment="1">
      <alignment horizontal="right" vertical="center" wrapText="1"/>
    </xf>
    <xf numFmtId="0" fontId="6" fillId="3" borderId="9" xfId="0" applyFont="1" applyFill="1" applyBorder="1" applyAlignment="1">
      <alignment horizontal="left" vertical="center" wrapText="1"/>
    </xf>
    <xf numFmtId="11" fontId="0" fillId="0" borderId="10" xfId="0" applyNumberFormat="1" applyFill="1" applyBorder="1" applyAlignment="1">
      <alignment horizontal="right" vertical="center" wrapText="1"/>
    </xf>
    <xf numFmtId="11" fontId="0" fillId="4" borderId="10" xfId="0" applyNumberFormat="1" applyFill="1" applyBorder="1" applyAlignment="1">
      <alignment horizontal="right" vertical="center" wrapText="1"/>
    </xf>
    <xf numFmtId="0" fontId="6" fillId="3" borderId="13" xfId="0" applyFont="1" applyFill="1" applyBorder="1" applyAlignment="1">
      <alignment horizontal="left" vertical="center" wrapText="1"/>
    </xf>
    <xf numFmtId="1" fontId="0" fillId="0" borderId="14" xfId="0" applyNumberFormat="1" applyBorder="1" applyAlignment="1">
      <alignment horizontal="right" vertical="center" wrapText="1"/>
    </xf>
    <xf numFmtId="0" fontId="5" fillId="5" borderId="9" xfId="0" applyFont="1" applyFill="1" applyBorder="1" applyAlignment="1">
      <alignment vertical="center" wrapText="1"/>
    </xf>
    <xf numFmtId="0" fontId="0" fillId="0" borderId="10" xfId="0" applyBorder="1" applyAlignment="1">
      <alignment vertical="center"/>
    </xf>
    <xf numFmtId="0" fontId="5" fillId="5" borderId="15" xfId="0" applyFont="1" applyFill="1" applyBorder="1" applyAlignment="1">
      <alignment vertical="center" wrapText="1"/>
    </xf>
    <xf numFmtId="0" fontId="0" fillId="0" borderId="16" xfId="0" applyBorder="1" applyAlignment="1">
      <alignment vertical="center"/>
    </xf>
    <xf numFmtId="0" fontId="0" fillId="5" borderId="9" xfId="0" applyFill="1" applyBorder="1"/>
    <xf numFmtId="11" fontId="0" fillId="0" borderId="10" xfId="0" applyNumberFormat="1" applyBorder="1"/>
    <xf numFmtId="0" fontId="0" fillId="5" borderId="9" xfId="0" applyFill="1" applyBorder="1" applyAlignment="1">
      <alignment vertical="center"/>
    </xf>
    <xf numFmtId="11" fontId="0" fillId="0" borderId="10" xfId="0" applyNumberFormat="1" applyBorder="1" applyAlignment="1">
      <alignment vertical="center"/>
    </xf>
    <xf numFmtId="2" fontId="0" fillId="0" borderId="10" xfId="0" applyNumberFormat="1" applyBorder="1"/>
    <xf numFmtId="0" fontId="0" fillId="5" borderId="9" xfId="0" applyFill="1" applyBorder="1" applyAlignment="1">
      <alignment horizontal="left" vertical="center"/>
    </xf>
    <xf numFmtId="0" fontId="0" fillId="0" borderId="10" xfId="0" applyBorder="1"/>
    <xf numFmtId="0" fontId="0" fillId="5" borderId="15" xfId="0" applyFill="1" applyBorder="1"/>
    <xf numFmtId="2" fontId="0" fillId="0" borderId="16" xfId="0" applyNumberFormat="1" applyBorder="1"/>
    <xf numFmtId="0" fontId="0" fillId="7" borderId="10" xfId="0" applyFill="1" applyBorder="1" applyAlignment="1">
      <alignment horizontal="right" vertical="center" wrapText="1"/>
    </xf>
    <xf numFmtId="0" fontId="0" fillId="0" borderId="10" xfId="0" applyBorder="1" applyAlignment="1">
      <alignment horizontal="center" vertical="center"/>
    </xf>
    <xf numFmtId="0" fontId="0" fillId="0" borderId="16" xfId="0" applyBorder="1"/>
    <xf numFmtId="0" fontId="3" fillId="6" borderId="17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 wrapText="1"/>
    </xf>
    <xf numFmtId="0" fontId="0" fillId="0" borderId="20" xfId="0" applyBorder="1"/>
    <xf numFmtId="0" fontId="4" fillId="0" borderId="0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0" fillId="0" borderId="10" xfId="0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8" xfId="0" applyBorder="1"/>
    <xf numFmtId="0" fontId="2" fillId="2" borderId="3" xfId="0" applyFont="1" applyFill="1" applyBorder="1" applyAlignment="1">
      <alignment horizontal="center" vertical="center" wrapText="1"/>
    </xf>
    <xf numFmtId="0" fontId="0" fillId="0" borderId="7" xfId="0" applyBorder="1"/>
    <xf numFmtId="0" fontId="2" fillId="2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Border="1"/>
    <xf numFmtId="0" fontId="1" fillId="0" borderId="4" xfId="0" applyFont="1" applyBorder="1" applyAlignment="1">
      <alignment horizontal="left" vertical="center" wrapText="1"/>
    </xf>
    <xf numFmtId="0" fontId="0" fillId="0" borderId="22" xfId="0" applyBorder="1"/>
    <xf numFmtId="0" fontId="0" fillId="0" borderId="23" xfId="0" applyBorder="1"/>
    <xf numFmtId="0" fontId="1" fillId="0" borderId="3" xfId="0" applyFont="1" applyBorder="1" applyAlignment="1">
      <alignment horizontal="left" vertical="center" wrapText="1"/>
    </xf>
    <xf numFmtId="0" fontId="0" fillId="0" borderId="21" xfId="0" applyBorder="1"/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0" fillId="5" borderId="2" xfId="0" applyFill="1" applyBorder="1"/>
    <xf numFmtId="0" fontId="0" fillId="0" borderId="2" xfId="0" applyFill="1" applyBorder="1" applyAlignment="1">
      <alignment horizontal="right" vertical="center" wrapText="1"/>
    </xf>
    <xf numFmtId="11" fontId="0" fillId="7" borderId="2" xfId="0" applyNumberFormat="1" applyFill="1" applyBorder="1" applyAlignment="1">
      <alignment horizontal="right" vertical="center" wrapText="1"/>
    </xf>
    <xf numFmtId="164" fontId="8" fillId="0" borderId="2" xfId="0" applyNumberFormat="1" applyFont="1" applyBorder="1"/>
    <xf numFmtId="10" fontId="0" fillId="0" borderId="10" xfId="0" applyNumberFormat="1" applyFill="1" applyBorder="1" applyAlignment="1">
      <alignment horizontal="right" vertical="center" wrapText="1"/>
    </xf>
  </cellXfs>
  <cellStyles count="1">
    <cellStyle name="Normal" xfId="0" builtinId="0"/>
  </cellStyles>
  <dxfs count="2">
    <dxf>
      <font>
        <strike val="0"/>
        <color rgb="FF00B05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F26EC-23D3-495E-BC2E-9D93DEC14262}">
  <dimension ref="A1:L37"/>
  <sheetViews>
    <sheetView showGridLines="0" tabSelected="1" zoomScale="80" zoomScaleNormal="80" workbookViewId="0">
      <selection activeCell="C25" sqref="C25"/>
    </sheetView>
  </sheetViews>
  <sheetFormatPr baseColWidth="10" defaultColWidth="19.77734375" defaultRowHeight="14.4" x14ac:dyDescent="0.3"/>
  <cols>
    <col min="1" max="1" width="24.6640625" bestFit="1" customWidth="1"/>
    <col min="2" max="2" width="10" bestFit="1" customWidth="1"/>
    <col min="4" max="4" width="23" customWidth="1"/>
    <col min="5" max="5" width="20.6640625" customWidth="1"/>
    <col min="7" max="7" width="39.77734375" customWidth="1"/>
    <col min="8" max="8" width="16.21875" customWidth="1"/>
    <col min="10" max="10" width="27.88671875" customWidth="1"/>
    <col min="11" max="11" width="19.77734375" customWidth="1"/>
  </cols>
  <sheetData>
    <row r="1" spans="1:12" ht="24" thickBot="1" x14ac:dyDescent="0.35">
      <c r="A1" s="38" t="s">
        <v>10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1"/>
    </row>
    <row r="2" spans="1:12" s="6" customFormat="1" x14ac:dyDescent="0.3">
      <c r="A2" s="57" t="s">
        <v>57</v>
      </c>
      <c r="B2" s="58"/>
      <c r="C2" s="58"/>
      <c r="D2" s="58"/>
      <c r="E2" s="58"/>
      <c r="F2" s="58"/>
      <c r="G2" s="58"/>
      <c r="H2" s="44"/>
    </row>
    <row r="3" spans="1:12" s="6" customFormat="1" x14ac:dyDescent="0.3">
      <c r="A3" s="52" t="s">
        <v>58</v>
      </c>
      <c r="B3" s="53"/>
      <c r="C3" s="53"/>
      <c r="D3" s="53"/>
      <c r="E3" s="53"/>
      <c r="F3" s="53"/>
      <c r="G3" s="53"/>
      <c r="H3" s="42"/>
    </row>
    <row r="4" spans="1:12" x14ac:dyDescent="0.3">
      <c r="A4" s="52" t="s">
        <v>0</v>
      </c>
      <c r="B4" s="53"/>
      <c r="C4" s="53"/>
      <c r="D4" s="53"/>
      <c r="E4" s="53"/>
      <c r="F4" s="53"/>
      <c r="G4" s="53"/>
      <c r="H4" s="42"/>
    </row>
    <row r="5" spans="1:12" s="6" customFormat="1" x14ac:dyDescent="0.3">
      <c r="A5" s="52" t="s">
        <v>59</v>
      </c>
      <c r="B5" s="53"/>
      <c r="C5" s="53"/>
      <c r="D5" s="53"/>
      <c r="E5" s="53"/>
      <c r="F5" s="53"/>
      <c r="G5" s="53"/>
      <c r="H5" s="42"/>
    </row>
    <row r="6" spans="1:12" s="6" customFormat="1" ht="15" thickBot="1" x14ac:dyDescent="0.35">
      <c r="A6" s="54" t="s">
        <v>60</v>
      </c>
      <c r="B6" s="55"/>
      <c r="C6" s="55"/>
      <c r="D6" s="55"/>
      <c r="E6" s="55"/>
      <c r="F6" s="55"/>
      <c r="G6" s="55"/>
      <c r="H6" s="56"/>
    </row>
    <row r="7" spans="1:12" ht="15" thickBot="1" x14ac:dyDescent="0.35"/>
    <row r="8" spans="1:12" x14ac:dyDescent="0.3">
      <c r="A8" s="43" t="s">
        <v>15</v>
      </c>
      <c r="B8" s="44"/>
      <c r="D8" s="43" t="s">
        <v>17</v>
      </c>
      <c r="E8" s="44"/>
      <c r="G8" s="36" t="s">
        <v>30</v>
      </c>
      <c r="H8" s="37"/>
      <c r="J8" s="36" t="s">
        <v>61</v>
      </c>
      <c r="K8" s="37"/>
    </row>
    <row r="9" spans="1:12" x14ac:dyDescent="0.3">
      <c r="A9" s="3"/>
      <c r="B9" s="10"/>
      <c r="D9" s="3"/>
      <c r="E9" s="10"/>
      <c r="G9" s="3"/>
      <c r="H9" s="10"/>
    </row>
    <row r="10" spans="1:12" x14ac:dyDescent="0.3">
      <c r="A10" s="41" t="s">
        <v>14</v>
      </c>
      <c r="B10" s="42"/>
      <c r="D10" s="41" t="s">
        <v>16</v>
      </c>
      <c r="E10" s="42"/>
      <c r="G10" s="22" t="s">
        <v>42</v>
      </c>
      <c r="H10" s="28">
        <f>ROUNDUP(10^((B11-ROUNDUP(E24,0))/10),0)</f>
        <v>16</v>
      </c>
      <c r="J10" s="59" t="s">
        <v>62</v>
      </c>
      <c r="K10" s="60"/>
    </row>
    <row r="11" spans="1:12" x14ac:dyDescent="0.3">
      <c r="A11" s="11" t="s">
        <v>50</v>
      </c>
      <c r="B11" s="12">
        <v>20</v>
      </c>
      <c r="D11" s="22" t="s">
        <v>18</v>
      </c>
      <c r="E11" s="23">
        <f>B23/B14</f>
        <v>0.12295081967213115</v>
      </c>
      <c r="G11" s="3"/>
      <c r="H11" s="10"/>
      <c r="J11" s="61" t="s">
        <v>63</v>
      </c>
      <c r="K11" s="62">
        <f>SQRT(50*K12)</f>
        <v>79.05694150420949</v>
      </c>
    </row>
    <row r="12" spans="1:12" x14ac:dyDescent="0.3">
      <c r="A12" s="11" t="s">
        <v>66</v>
      </c>
      <c r="B12" s="12">
        <v>30</v>
      </c>
      <c r="D12" s="22" t="s">
        <v>19</v>
      </c>
      <c r="E12" s="23">
        <f>E11*B19</f>
        <v>7.5491803278688527E-2</v>
      </c>
      <c r="G12" s="39" t="s">
        <v>47</v>
      </c>
      <c r="H12" s="40"/>
      <c r="J12" s="61" t="s">
        <v>64</v>
      </c>
      <c r="K12" s="7">
        <v>125</v>
      </c>
    </row>
    <row r="13" spans="1:12" x14ac:dyDescent="0.3">
      <c r="A13" s="11" t="s">
        <v>67</v>
      </c>
      <c r="B13" s="12">
        <v>120</v>
      </c>
      <c r="D13" s="22" t="s">
        <v>21</v>
      </c>
      <c r="E13" s="23">
        <f>E12/B27</f>
        <v>49.665660051768768</v>
      </c>
      <c r="G13" s="22" t="s">
        <v>49</v>
      </c>
      <c r="H13" s="12">
        <v>4</v>
      </c>
      <c r="J13" s="61" t="s">
        <v>65</v>
      </c>
      <c r="K13" s="63">
        <f>E16/4</f>
        <v>1.9227787000273586E-2</v>
      </c>
    </row>
    <row r="14" spans="1:12" x14ac:dyDescent="0.3">
      <c r="A14" s="13" t="s">
        <v>2</v>
      </c>
      <c r="B14" s="14">
        <f>(B16+B15)/2</f>
        <v>2440000000</v>
      </c>
      <c r="D14" s="24" t="s">
        <v>22</v>
      </c>
      <c r="E14" s="25">
        <f>((B26+1)/2)+((B26-1)/2)*(SQRT(1/(1+(12*(0.000762/E12)))))</f>
        <v>2.555549333017002</v>
      </c>
      <c r="G14" s="22" t="s">
        <v>48</v>
      </c>
      <c r="H14" s="12">
        <v>4</v>
      </c>
    </row>
    <row r="15" spans="1:12" ht="12.6" customHeight="1" x14ac:dyDescent="0.3">
      <c r="A15" s="13" t="s">
        <v>9</v>
      </c>
      <c r="B15" s="15">
        <v>2400000000</v>
      </c>
      <c r="D15" s="34" t="s">
        <v>23</v>
      </c>
      <c r="E15" s="35"/>
      <c r="G15" s="22" t="s">
        <v>56</v>
      </c>
      <c r="H15" s="31">
        <f>E24 + 10*LOG10(H13*H14)</f>
        <v>19.288846116305379</v>
      </c>
    </row>
    <row r="16" spans="1:12" x14ac:dyDescent="0.3">
      <c r="A16" s="13" t="s">
        <v>33</v>
      </c>
      <c r="B16" s="15">
        <v>2480000000</v>
      </c>
      <c r="D16" s="22" t="s">
        <v>24</v>
      </c>
      <c r="E16" s="23">
        <f>E11/SQRT(E14)</f>
        <v>7.6911148001094345E-2</v>
      </c>
      <c r="G16" s="3"/>
      <c r="H16" s="10"/>
    </row>
    <row r="17" spans="1:11" x14ac:dyDescent="0.3">
      <c r="A17" s="13" t="s">
        <v>32</v>
      </c>
      <c r="B17" s="14">
        <f>B16-B15</f>
        <v>80000000</v>
      </c>
      <c r="D17" s="22" t="s">
        <v>25</v>
      </c>
      <c r="E17" s="23">
        <f>E16/2</f>
        <v>3.8455574000547173E-2</v>
      </c>
      <c r="G17" s="50" t="s">
        <v>44</v>
      </c>
      <c r="H17" s="51"/>
      <c r="J17" s="59" t="s">
        <v>68</v>
      </c>
      <c r="K17" s="60"/>
    </row>
    <row r="18" spans="1:11" ht="12.6" customHeight="1" x14ac:dyDescent="0.4">
      <c r="A18" s="13" t="s">
        <v>4</v>
      </c>
      <c r="B18" s="65">
        <f>B17/B14</f>
        <v>3.2786885245901641E-2</v>
      </c>
      <c r="D18" s="34" t="s">
        <v>26</v>
      </c>
      <c r="E18" s="35"/>
      <c r="G18" s="34" t="s">
        <v>37</v>
      </c>
      <c r="H18" s="35"/>
      <c r="J18" s="61" t="s">
        <v>69</v>
      </c>
      <c r="K18" s="64">
        <f>(2*PI()*B19*SIN(0.698))</f>
        <v>2.4794055127600125</v>
      </c>
    </row>
    <row r="19" spans="1:11" x14ac:dyDescent="0.3">
      <c r="A19" s="13" t="s">
        <v>20</v>
      </c>
      <c r="B19" s="15">
        <v>0.61399999999999999</v>
      </c>
      <c r="D19" s="22" t="s">
        <v>27</v>
      </c>
      <c r="E19" s="23">
        <f>0.412*((E14+0.3)*(E13+0.264))/((E14-0.258)*(E13+0.8))</f>
        <v>0.50662275178583993</v>
      </c>
      <c r="G19" s="24" t="s">
        <v>38</v>
      </c>
      <c r="H19" s="25">
        <f>B19*E11</f>
        <v>7.5491803278688527E-2</v>
      </c>
      <c r="J19" s="61"/>
      <c r="K19" s="64">
        <f>(2*PI()*B19*SIN(-0.698))</f>
        <v>-2.4794055127600125</v>
      </c>
    </row>
    <row r="20" spans="1:11" x14ac:dyDescent="0.3">
      <c r="A20" s="13" t="s">
        <v>5</v>
      </c>
      <c r="B20" s="12">
        <v>5</v>
      </c>
      <c r="D20" s="22" t="s">
        <v>28</v>
      </c>
      <c r="E20" s="23">
        <f>E19*B27</f>
        <v>7.7006658271447674E-4</v>
      </c>
      <c r="G20" s="24"/>
      <c r="H20" s="25">
        <f>H19/2</f>
        <v>3.7745901639344263E-2</v>
      </c>
      <c r="J20" s="61" t="s">
        <v>70</v>
      </c>
      <c r="K20" s="2">
        <f>K18*180/(PI())</f>
        <v>142.0594715826185</v>
      </c>
    </row>
    <row r="21" spans="1:11" x14ac:dyDescent="0.3">
      <c r="A21" s="3"/>
      <c r="B21" s="10"/>
      <c r="D21" s="22" t="s">
        <v>29</v>
      </c>
      <c r="E21" s="23">
        <f>E17-(2*E20)</f>
        <v>3.6915440835118218E-2</v>
      </c>
      <c r="G21" s="24" t="s">
        <v>39</v>
      </c>
      <c r="H21" s="32" t="str">
        <f>IF(H20&lt;=0,"SUPERPOSITION","GOOD")</f>
        <v>GOOD</v>
      </c>
    </row>
    <row r="22" spans="1:11" x14ac:dyDescent="0.3">
      <c r="A22" s="48" t="s">
        <v>1</v>
      </c>
      <c r="B22" s="49"/>
      <c r="D22" s="3"/>
      <c r="E22" s="10"/>
      <c r="G22" s="34" t="s">
        <v>40</v>
      </c>
      <c r="H22" s="35"/>
    </row>
    <row r="23" spans="1:11" x14ac:dyDescent="0.3">
      <c r="A23" s="16" t="s">
        <v>3</v>
      </c>
      <c r="B23" s="17">
        <v>300000000</v>
      </c>
      <c r="C23" s="4"/>
      <c r="D23" s="41" t="s">
        <v>31</v>
      </c>
      <c r="E23" s="42"/>
      <c r="G23" s="24" t="s">
        <v>46</v>
      </c>
      <c r="H23" s="23">
        <f>E16/2</f>
        <v>3.8455574000547173E-2</v>
      </c>
    </row>
    <row r="24" spans="1:11" x14ac:dyDescent="0.3">
      <c r="A24" s="3"/>
      <c r="B24" s="10"/>
      <c r="D24" s="22" t="s">
        <v>43</v>
      </c>
      <c r="E24" s="26">
        <f>10*LOG10(4*PI()*1.4*(E12^2)/(E11^2)) + 10*LOG10(0.8)</f>
        <v>7.2476462897461325</v>
      </c>
      <c r="G24" s="22" t="s">
        <v>34</v>
      </c>
      <c r="H24" s="23">
        <f>H19-E21</f>
        <v>3.8576362443570308E-2</v>
      </c>
    </row>
    <row r="25" spans="1:11" x14ac:dyDescent="0.3">
      <c r="A25" s="41" t="s">
        <v>12</v>
      </c>
      <c r="B25" s="45"/>
      <c r="D25" s="27" t="s">
        <v>51</v>
      </c>
      <c r="E25" s="26">
        <f>50.8*E11/E12</f>
        <v>82.736156351791522</v>
      </c>
      <c r="G25" s="22" t="s">
        <v>35</v>
      </c>
      <c r="H25" s="28">
        <f>ABS(H24-H23)</f>
        <v>1.2078844302313568E-4</v>
      </c>
    </row>
    <row r="26" spans="1:11" x14ac:dyDescent="0.3">
      <c r="A26" s="18" t="s">
        <v>11</v>
      </c>
      <c r="B26" s="19">
        <v>2.6</v>
      </c>
      <c r="D26" s="22" t="s">
        <v>52</v>
      </c>
      <c r="E26" s="28">
        <v>320</v>
      </c>
      <c r="G26" s="22" t="s">
        <v>36</v>
      </c>
      <c r="H26" s="23">
        <f>((E16/2)+E21)/E11</f>
        <v>0.6130175873300785</v>
      </c>
    </row>
    <row r="27" spans="1:11" ht="15" thickBot="1" x14ac:dyDescent="0.35">
      <c r="A27" s="20" t="s">
        <v>13</v>
      </c>
      <c r="B27" s="21">
        <v>1.5200000000000001E-3</v>
      </c>
      <c r="D27" s="29" t="s">
        <v>6</v>
      </c>
      <c r="E27" s="30">
        <f>2*PI()/E11</f>
        <v>51.103240498393966</v>
      </c>
      <c r="G27" s="34" t="s">
        <v>41</v>
      </c>
      <c r="H27" s="35"/>
    </row>
    <row r="28" spans="1:11" ht="15" thickBot="1" x14ac:dyDescent="0.35">
      <c r="G28" s="29" t="s">
        <v>45</v>
      </c>
      <c r="H28" s="33">
        <f>0.00152*IF(
 (8*EXP((125/60)*SQRT((2.6+1)/2)+((2.6-1)/(2.6+1))*(0.23+0.11/2.6)))/
 (EXP(2*((125/60)*SQRT((2.6+1)/2)+((2.6-1)/(2.6+1))*(0.23+0.11/2.6)))-2)&lt;2,
 (8*EXP((125/60)*SQRT((2.6+1)/2)+((2.6-1)/(2.6+1))*(0.23+0.11/2.6)))/
 (EXP(2*((125/60)*SQRT((2.6+1)/2)+((2.6-1)/(2.6+1))*(0.23+0.11/2.6)))-2),
 (2/3.14159265358979)*
 (
  (377*3.14159265358979)/(2*125*SQRT(2.6))
  -1
  -LN(2*((377*3.14159265358979)/(2*125*SQRT(2.6)))-1)
  +((2.6-1)/(2*2.6))*
   (LN(((377*3.14159265358979)/(2*125*SQRT(2.6)))-1)+0.39-0.61/2.6)
 )
)</f>
        <v>6.6227237528548974E-4</v>
      </c>
    </row>
    <row r="32" spans="1:11" ht="14.4" customHeight="1" x14ac:dyDescent="0.3">
      <c r="E32" s="46" t="s">
        <v>55</v>
      </c>
      <c r="F32" s="47"/>
      <c r="G32" s="47"/>
      <c r="H32" s="47"/>
      <c r="I32" s="9"/>
    </row>
    <row r="33" spans="5:8" x14ac:dyDescent="0.3">
      <c r="E33" s="5" t="s">
        <v>7</v>
      </c>
      <c r="F33" s="5" t="s">
        <v>8</v>
      </c>
      <c r="G33" s="5" t="s">
        <v>53</v>
      </c>
      <c r="H33" s="5" t="s">
        <v>54</v>
      </c>
    </row>
    <row r="34" spans="5:8" x14ac:dyDescent="0.3">
      <c r="E34" s="7">
        <v>4</v>
      </c>
      <c r="F34" s="7">
        <v>4</v>
      </c>
      <c r="G34" s="8">
        <f>$E$27*($B$23/$B$14)/(F34*$H$19)</f>
        <v>20.807508346251616</v>
      </c>
      <c r="H34" s="2">
        <f>$E$24 + 10*LOG10(E34*F34)</f>
        <v>19.288846116305379</v>
      </c>
    </row>
    <row r="35" spans="5:8" x14ac:dyDescent="0.3">
      <c r="E35" s="7">
        <v>4</v>
      </c>
      <c r="F35" s="7">
        <v>3</v>
      </c>
      <c r="G35" s="8">
        <f>$E$27*($B$23/$B$14)/(F35*$H$19)</f>
        <v>27.743344461668823</v>
      </c>
      <c r="H35" s="2">
        <f t="shared" ref="H35:H37" si="0">$E$24 + 10*LOG10(E35*F35)</f>
        <v>18.03945875022238</v>
      </c>
    </row>
    <row r="36" spans="5:8" x14ac:dyDescent="0.3">
      <c r="E36" s="7">
        <v>4</v>
      </c>
      <c r="F36" s="7">
        <v>2</v>
      </c>
      <c r="G36" s="8">
        <f>$E$27*($B$23/$B$14)/(F36*$H$19)</f>
        <v>41.615016692503232</v>
      </c>
      <c r="H36" s="2">
        <f t="shared" si="0"/>
        <v>16.278546159665567</v>
      </c>
    </row>
    <row r="37" spans="5:8" x14ac:dyDescent="0.3">
      <c r="E37" s="7">
        <v>4</v>
      </c>
      <c r="F37" s="7">
        <v>1</v>
      </c>
      <c r="G37" s="8">
        <f>$E$27*($B$23/$B$14)/(F37*$H$19)</f>
        <v>83.230033385006465</v>
      </c>
      <c r="H37" s="2">
        <f t="shared" si="0"/>
        <v>13.268246203025758</v>
      </c>
    </row>
  </sheetData>
  <mergeCells count="25">
    <mergeCell ref="J17:K17"/>
    <mergeCell ref="A25:B25"/>
    <mergeCell ref="E32:H32"/>
    <mergeCell ref="A22:B22"/>
    <mergeCell ref="G17:H17"/>
    <mergeCell ref="G18:H18"/>
    <mergeCell ref="G22:H22"/>
    <mergeCell ref="G27:H27"/>
    <mergeCell ref="D23:E23"/>
    <mergeCell ref="D18:E18"/>
    <mergeCell ref="J8:K8"/>
    <mergeCell ref="J10:K10"/>
    <mergeCell ref="A1:K1"/>
    <mergeCell ref="G12:H12"/>
    <mergeCell ref="A10:B10"/>
    <mergeCell ref="A8:B8"/>
    <mergeCell ref="D8:E8"/>
    <mergeCell ref="D10:E10"/>
    <mergeCell ref="A4:H4"/>
    <mergeCell ref="A5:H5"/>
    <mergeCell ref="A6:H6"/>
    <mergeCell ref="A3:H3"/>
    <mergeCell ref="A2:H2"/>
    <mergeCell ref="G8:H8"/>
    <mergeCell ref="D15:E15"/>
  </mergeCells>
  <conditionalFormatting sqref="H21">
    <cfRule type="containsText" dxfId="1" priority="1" operator="containsText" text="SUPERPOSITION">
      <formula>NOT(ISERROR(SEARCH("SUPERPOSITION",H21)))</formula>
    </cfRule>
    <cfRule type="containsText" dxfId="0" priority="2" operator="containsText" text="GOOD">
      <formula>NOT(ISERROR(SEARCH("GOOD",H21)))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Dimensionnement Patch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Camille Lanfredi</cp:lastModifiedBy>
  <dcterms:created xsi:type="dcterms:W3CDTF">2026-01-10T23:42:40Z</dcterms:created>
  <dcterms:modified xsi:type="dcterms:W3CDTF">2026-01-11T11:23:15Z</dcterms:modified>
</cp:coreProperties>
</file>